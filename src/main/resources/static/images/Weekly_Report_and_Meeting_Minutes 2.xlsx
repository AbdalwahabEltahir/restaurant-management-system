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zorg2\Desktop\rms\restaurant-management-system\src\main\resources\static\images\"/>
    </mc:Choice>
  </mc:AlternateContent>
  <xr:revisionPtr revIDLastSave="0" documentId="8_{D0BD0C84-50B7-4E57-874B-7679C01BB877}" xr6:coauthVersionLast="47" xr6:coauthVersionMax="47" xr10:uidLastSave="{00000000-0000-0000-0000-000000000000}"/>
  <bookViews>
    <workbookView xWindow="-28920" yWindow="2100" windowWidth="29040" windowHeight="15720" tabRatio="500" activeTab="1" xr2:uid="{00000000-000D-0000-FFFF-FFFF00000000}"/>
  </bookViews>
  <sheets>
    <sheet name="Guide" sheetId="1" r:id="rId1"/>
    <sheet name="Daily Log" sheetId="2" r:id="rId2"/>
    <sheet name="Meeting Minutes" sheetId="3" r:id="rId3"/>
    <sheet name="Weekly Report" sheetId="4" r:id="rId4"/>
  </sheets>
  <definedNames>
    <definedName name="_xlnm.Print_Titles" localSheetId="1">'Daily Log'!$4:$5</definedName>
    <definedName name="_xlnm.Print_Titles" localSheetId="2">'Meeting Minutes'!$4:$5</definedName>
    <definedName name="_xlnm.Print_Titles" localSheetId="3">'Weekly Report'!$4:$5</definedName>
    <definedName name="StartDate">Guide!$C$6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B7" i="4"/>
  <c r="B17" i="4"/>
  <c r="B16" i="4"/>
  <c r="B15" i="4"/>
  <c r="B14" i="4"/>
  <c r="B13" i="4"/>
  <c r="B12" i="4"/>
  <c r="B11" i="4"/>
  <c r="B10" i="4"/>
  <c r="B9" i="4"/>
  <c r="B8" i="4"/>
  <c r="A2" i="4"/>
  <c r="C65" i="2"/>
  <c r="A65" i="2"/>
  <c r="C64" i="2"/>
  <c r="A64" i="2"/>
  <c r="C63" i="2"/>
  <c r="A63" i="2"/>
  <c r="C62" i="2"/>
  <c r="A62" i="2"/>
  <c r="C61" i="2"/>
  <c r="A61" i="2"/>
  <c r="C60" i="2"/>
  <c r="A60" i="2"/>
  <c r="C59" i="2"/>
  <c r="A59" i="2"/>
  <c r="C58" i="2"/>
  <c r="A58" i="2"/>
  <c r="C57" i="2"/>
  <c r="A57" i="2"/>
  <c r="C56" i="2"/>
  <c r="A56" i="2"/>
  <c r="C55" i="2"/>
  <c r="A55" i="2"/>
  <c r="C54" i="2"/>
  <c r="A54" i="2"/>
  <c r="C53" i="2"/>
  <c r="A53" i="2"/>
  <c r="C52" i="2"/>
  <c r="A52" i="2"/>
  <c r="C51" i="2"/>
  <c r="A51" i="2"/>
  <c r="C50" i="2"/>
  <c r="A50" i="2"/>
  <c r="C49" i="2"/>
  <c r="A49" i="2"/>
  <c r="C48" i="2"/>
  <c r="A48" i="2"/>
  <c r="C47" i="2"/>
  <c r="A47" i="2"/>
  <c r="C46" i="2"/>
  <c r="A46" i="2"/>
  <c r="C45" i="2"/>
  <c r="A45" i="2"/>
  <c r="C44" i="2"/>
  <c r="A44" i="2"/>
  <c r="C43" i="2"/>
  <c r="A43" i="2"/>
  <c r="C42" i="2"/>
  <c r="A42" i="2"/>
  <c r="C41" i="2"/>
  <c r="A41" i="2"/>
  <c r="C40" i="2"/>
  <c r="A40" i="2"/>
  <c r="C39" i="2"/>
  <c r="A39" i="2"/>
  <c r="C38" i="2"/>
  <c r="A38" i="2"/>
  <c r="C37" i="2"/>
  <c r="A37" i="2"/>
  <c r="C36" i="2"/>
  <c r="A36" i="2"/>
  <c r="C35" i="2"/>
  <c r="A35" i="2"/>
  <c r="C34" i="2"/>
  <c r="A34" i="2"/>
  <c r="C33" i="2"/>
  <c r="A33" i="2"/>
  <c r="C32" i="2"/>
  <c r="A32" i="2"/>
  <c r="C31" i="2"/>
  <c r="A31" i="2"/>
  <c r="C30" i="2"/>
  <c r="A30" i="2"/>
  <c r="C29" i="2"/>
  <c r="A29" i="2"/>
  <c r="C28" i="2"/>
  <c r="A28" i="2"/>
  <c r="C27" i="2"/>
  <c r="A27" i="2"/>
  <c r="C26" i="2"/>
  <c r="A26" i="2"/>
  <c r="C25" i="2"/>
  <c r="A25" i="2"/>
  <c r="C24" i="2"/>
  <c r="A24" i="2"/>
  <c r="C23" i="2"/>
  <c r="A23" i="2"/>
  <c r="C22" i="2"/>
  <c r="A22" i="2"/>
  <c r="C21" i="2"/>
  <c r="A21" i="2"/>
  <c r="C20" i="2"/>
  <c r="A20" i="2"/>
  <c r="C19" i="2"/>
  <c r="A19" i="2"/>
  <c r="C18" i="2"/>
  <c r="A18" i="2"/>
  <c r="C17" i="2"/>
  <c r="A17" i="2"/>
  <c r="C16" i="2"/>
  <c r="A16" i="2"/>
  <c r="C15" i="2"/>
  <c r="A15" i="2"/>
  <c r="C14" i="2"/>
  <c r="A14" i="2"/>
  <c r="C13" i="2"/>
  <c r="A13" i="2"/>
  <c r="C12" i="2"/>
  <c r="A12" i="2"/>
  <c r="C11" i="2"/>
  <c r="A11" i="2"/>
  <c r="C10" i="2"/>
  <c r="A10" i="2"/>
  <c r="C9" i="2"/>
  <c r="C7" i="2"/>
  <c r="C6" i="2"/>
  <c r="A2" i="2"/>
  <c r="A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5" authorId="0" shapeId="0" xr:uid="{00000000-0006-0000-0200-000001000000}">
      <text>
        <r>
          <rPr>
            <sz val="11"/>
            <color theme="1"/>
            <rFont val="Calibri"/>
            <family val="2"/>
            <charset val="1"/>
          </rPr>
          <t>Date of the mentor meeting.</t>
        </r>
      </text>
    </comment>
    <comment ref="B5" authorId="0" shapeId="0" xr:uid="{00000000-0006-0000-0200-000002000000}">
      <text>
        <r>
          <rPr>
            <sz val="11"/>
            <color theme="1"/>
            <rFont val="Calibri"/>
            <family val="2"/>
            <charset val="1"/>
          </rPr>
          <t>Who attended, e.g. associate, mentor, Moad.</t>
        </r>
      </text>
    </comment>
    <comment ref="C5" authorId="0" shapeId="0" xr:uid="{00000000-0006-0000-0200-000003000000}">
      <text>
        <r>
          <rPr>
            <sz val="11"/>
            <color theme="1"/>
            <rFont val="Calibri"/>
            <family val="2"/>
            <charset val="1"/>
          </rPr>
          <t>What progress was reviewed since the last meeting.</t>
        </r>
      </text>
    </comment>
    <comment ref="D5" authorId="0" shapeId="0" xr:uid="{00000000-0006-0000-0200-000004000000}">
      <text>
        <r>
          <rPr>
            <sz val="11"/>
            <color theme="1"/>
            <rFont val="Calibri"/>
            <family val="2"/>
            <charset val="1"/>
          </rPr>
          <t>Any work the associate demonstrated, e.g. a feature, app or code walkthrough.</t>
        </r>
      </text>
    </comment>
    <comment ref="E5" authorId="0" shapeId="0" xr:uid="{00000000-0006-0000-0200-000005000000}">
      <text>
        <r>
          <rPr>
            <sz val="11"/>
            <color theme="1"/>
            <rFont val="Calibri"/>
            <family val="2"/>
            <charset val="1"/>
          </rPr>
          <t>Anything stopping the associate from moving forward.</t>
        </r>
      </text>
    </comment>
    <comment ref="I5" authorId="0" shapeId="0" xr:uid="{00000000-0006-0000-0200-000006000000}">
      <text>
        <r>
          <rPr>
            <sz val="11"/>
            <color theme="1"/>
            <rFont val="Calibri"/>
            <family val="2"/>
            <charset val="1"/>
          </rPr>
          <t>The tasks agreed in the meeting: what needs to be done, who will do it, and by when. Example: Irfan to finish the login page by Thursday.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300-000001000000}">
      <text>
        <r>
          <rPr>
            <sz val="11"/>
            <color theme="1"/>
            <rFont val="Calibri"/>
            <family val="2"/>
            <charset val="1"/>
          </rPr>
          <t>Calculated from the start date on the Guide tab (Thursday of each week).</t>
        </r>
      </text>
    </comment>
    <comment ref="C5" authorId="0" shapeId="0" xr:uid="{00000000-0006-0000-0300-000002000000}">
      <text>
        <r>
          <rPr>
            <sz val="11"/>
            <color theme="1"/>
            <rFont val="Calibri"/>
            <family val="2"/>
            <charset val="1"/>
          </rPr>
          <t>1 = no growth
5 = significant growth</t>
        </r>
      </text>
    </comment>
    <comment ref="D5" authorId="0" shapeId="0" xr:uid="{00000000-0006-0000-0300-000003000000}">
      <text>
        <r>
          <rPr>
            <sz val="11"/>
            <color theme="1"/>
            <rFont val="Calibri"/>
            <family val="2"/>
            <charset val="1"/>
          </rPr>
          <t>1 = struggled to adapt
5 = picked up quickly, independently</t>
        </r>
      </text>
    </comment>
    <comment ref="E5" authorId="0" shapeId="0" xr:uid="{00000000-0006-0000-0300-000004000000}">
      <text>
        <r>
          <rPr>
            <sz val="11"/>
            <color theme="1"/>
            <rFont val="Calibri"/>
            <family val="2"/>
            <charset val="1"/>
          </rPr>
          <t>A short summary of what you worked on during the week.</t>
        </r>
      </text>
    </comment>
    <comment ref="F5" authorId="0" shapeId="0" xr:uid="{00000000-0006-0000-0300-000005000000}">
      <text>
        <r>
          <rPr>
            <sz val="11"/>
            <color theme="1"/>
            <rFont val="Calibri"/>
            <family val="2"/>
            <charset val="1"/>
          </rPr>
          <t>What actually landed: the things worth remembering.</t>
        </r>
      </text>
    </comment>
    <comment ref="G5" authorId="0" shapeId="0" xr:uid="{00000000-0006-0000-0300-000006000000}">
      <text>
        <r>
          <rPr>
            <sz val="11"/>
            <color theme="1"/>
            <rFont val="Calibri"/>
            <family val="2"/>
            <charset val="1"/>
          </rPr>
          <t>Where you got stuck, and how you handled it.</t>
        </r>
      </text>
    </comment>
    <comment ref="H5" authorId="0" shapeId="0" xr:uid="{00000000-0006-0000-0300-000007000000}">
      <text>
        <r>
          <rPr>
            <sz val="11"/>
            <color theme="1"/>
            <rFont val="Calibri"/>
            <family val="2"/>
            <charset val="1"/>
          </rPr>
          <t>What you plan to focus on the following week.</t>
        </r>
      </text>
    </comment>
  </commentList>
</comments>
</file>

<file path=xl/sharedStrings.xml><?xml version="1.0" encoding="utf-8"?>
<sst xmlns="http://schemas.openxmlformats.org/spreadsheetml/2006/main" count="86" uniqueCount="77">
  <si>
    <t>Mentor Meeting Minutes</t>
  </si>
  <si>
    <t>One row per mentor meeting.</t>
  </si>
  <si>
    <t>ASSOCIATE FEEDBACK  (1 = lowest, 5 = highest)</t>
  </si>
  <si>
    <t>Date</t>
  </si>
  <si>
    <t>Attendees</t>
  </si>
  <si>
    <t>Progress Discussed</t>
  </si>
  <si>
    <t>Demo Shown</t>
  </si>
  <si>
    <t>Blockers Raised</t>
  </si>
  <si>
    <t>Overall satisfaction (course &amp; experience)</t>
  </si>
  <si>
    <t>How challenging was it</t>
  </si>
  <si>
    <t>How much new was learned</t>
  </si>
  <si>
    <t>Action Items</t>
  </si>
  <si>
    <t>CertiMinds  |  Internal</t>
  </si>
  <si>
    <t>Daily updates, mentor meeting minutes and weekly progress reports, in one file.</t>
  </si>
  <si>
    <t>Full name</t>
  </si>
  <si>
    <t>Start date</t>
  </si>
  <si>
    <t>Enter the Sunday of the first week, e.g. 27/09/2026</t>
  </si>
  <si>
    <t>HOW TO USE</t>
  </si>
  <si>
    <t>Daily Log</t>
  </si>
  <si>
    <t>Each day you work, before you log off: type the date, then 3 to 5 short bullet points on what you achieved, your plan for tomorrow, and three quick ratings.</t>
  </si>
  <si>
    <t>Meeting Minutes</t>
  </si>
  <si>
    <t>Add one row after each mentor meeting.</t>
  </si>
  <si>
    <t>Weekly Report</t>
  </si>
  <si>
    <t>Complete one row at the end of each week. Keep it brief, a few lines per box is enough.</t>
  </si>
  <si>
    <t>Ratings</t>
  </si>
  <si>
    <t>All ratings are out of 5, where 1 = lowest and 5 = highest.</t>
  </si>
  <si>
    <t>Colours</t>
  </si>
  <si>
    <t>Yellow cells are for typing. Grey cells fill in by themselves.</t>
  </si>
  <si>
    <t>Daily Achievements Log</t>
  </si>
  <si>
    <t>One row for each day you work. Type the date first (Week and Day fill in by themselves), then 3 to 5 short bullet points. Press Alt+Enter for a new line inside a cell.</t>
  </si>
  <si>
    <t>DAILY UPDATE  (short bullet points)</t>
  </si>
  <si>
    <t>DAILY RATINGS  (1 = lowest, 5 = highest)</t>
  </si>
  <si>
    <t>Week</t>
  </si>
  <si>
    <t>Day</t>
  </si>
  <si>
    <t>Today's Achievements</t>
  </si>
  <si>
    <t>Plan for Tomorrow</t>
  </si>
  <si>
    <t>Productivity today</t>
  </si>
  <si>
    <t>How challenging was today</t>
  </si>
  <si>
    <t>Weekly Progress Report</t>
  </si>
  <si>
    <t>One row per week. Keep it brief, a few lines per box is enough.</t>
  </si>
  <si>
    <t>WEEKLY RATINGS  (out of 5)</t>
  </si>
  <si>
    <t>Week Ending</t>
  </si>
  <si>
    <t>Technical Growth</t>
  </si>
  <si>
    <t>Overall Adaptability</t>
  </si>
  <si>
    <t>1. What Was Covered</t>
  </si>
  <si>
    <t>2. Key Learning Points</t>
  </si>
  <si>
    <t>3. Challenges Faced</t>
  </si>
  <si>
    <t>4. Next Steps</t>
  </si>
  <si>
    <t>Technical Growth: 1 = no growth, 5 = significant growth.   Overall Adaptability: 1 = struggled to adapt, 5 = picked up quickly, independently.</t>
  </si>
  <si>
    <t>Dr. Moad Idrissi, Dr. Ealius Azam and Abdalwahab Eltahir</t>
  </si>
  <si>
    <t xml:space="preserve"> looking into full stack development</t>
  </si>
  <si>
    <t>No demo</t>
  </si>
  <si>
    <t>None</t>
  </si>
  <si>
    <t xml:space="preserve">Start with Coursera courses </t>
  </si>
  <si>
    <t>Discussed Coursera progress, effective note taking practices, and strategies for using LLMs efficiently to reduce credit/token usage. Also discussed ways to improve confidence and communication skills</t>
  </si>
  <si>
    <t>Communication skills and building confidence when communicating</t>
  </si>
  <si>
    <t xml:space="preserve">Discussed Coursera progress, communication  tips, lessons learned from the courses, </t>
  </si>
  <si>
    <t xml:space="preserve">Some communication adjustments </t>
  </si>
  <si>
    <t xml:space="preserve">Abdalwahab to develop a restaurant management system that utilizes chatbots and handles restaurant staff and management operations with a rewards system by Wednesday </t>
  </si>
  <si>
    <t>Discussed progress on the Restaurant Management System, focusing on the Spring Boot backend and implemented features</t>
  </si>
  <si>
    <t>Presented a demo of the Restaurant Management System to demonstrate the current implementation and progress.</t>
  </si>
  <si>
    <t>Improve the UI and overall user experience, upload the latest project code to GitHub, and implement the remaining missing features in the Restaurant Management System.</t>
  </si>
  <si>
    <t xml:space="preserve">Catch up on the current Coursera courses,Prepare to start the next Coursera course and working to improve my communication  </t>
  </si>
  <si>
    <t>Reviewed Coursera progress, communication skills, and the Restaurant Management System demo and Spring Boot backend.</t>
  </si>
  <si>
    <t>Learned communication techniques and ways to improve backend development and user experience.</t>
  </si>
  <si>
    <t>Identified communication improvement areas, UI issues, and incomplete system features.</t>
  </si>
  <si>
    <t>Improve the UI, complete missing features, push code to GitHub, and develop chatbot, staff management, and rewards functionality by Wednesday.</t>
  </si>
  <si>
    <t>Abdalwahab Eltahir</t>
  </si>
  <si>
    <t>Payment Gateway implemented. 
Rewards redmption system implemented.
User interface update.
Progressed with coursera courses.</t>
  </si>
  <si>
    <t xml:space="preserve">Continue Coursera coursework .
Implemente Payment Gateway.
Progressed with coursera courses
</t>
  </si>
  <si>
    <t xml:space="preserve">Reviewed the Restaurant Management System demo. Made progress with Coursera coursework.
Progressed with coursera courses.
</t>
  </si>
  <si>
    <t>Continue Coursera coursework. 
improve the Restaurant Management System  and UI. 
Improve my communication</t>
  </si>
  <si>
    <t>Mon</t>
  </si>
  <si>
    <t>Finished implementing the Restaurant Management System.
Tested the system to ensure its functionality works correctly.
Documented the system’s features and functionalities.</t>
  </si>
  <si>
    <t>Improve the user interface (UI) to make the system more user-friendly and visually appealing.
Research additional features that could be implemented in the Restaurant Management System.
Start working on implementing the selected new features and improvements.</t>
  </si>
  <si>
    <r>
      <t xml:space="preserve">Researched UI/UX improvements.
Evaluated new feature ideas.
</t>
    </r>
    <r>
      <rPr>
        <sz val="11"/>
        <color rgb="FF1A2B4A"/>
        <rFont val="Arial"/>
        <family val="2"/>
      </rPr>
      <t>Advanced progress on Coursera coursework.</t>
    </r>
    <r>
      <rPr>
        <sz val="11"/>
        <color rgb="FF1A2B4A"/>
        <rFont val="Arial"/>
      </rPr>
      <t xml:space="preserve">
</t>
    </r>
  </si>
  <si>
    <t xml:space="preserve">Finish implementing and styling the selected UI updates for the Restaurant Management System.
Continue advancing through Coursera coursework modules.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</si>
</sst>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0&quot; / 5&quot;"/>
  </numFmts>
  <fonts count="18" x14ac:knownFonts="1">
    <font>
      <sz val="11"/>
      <color theme="1"/>
      <name val="Calibri"/>
      <family val="2"/>
      <charset val="1"/>
    </font>
    <font>
      <b/>
      <sz val="20"/>
      <color rgb="FF1A2B4A"/>
      <name val="Arial"/>
      <family val="2"/>
    </font>
    <font>
      <sz val="12"/>
      <color rgb="FF5A6A80"/>
      <name val="Arial"/>
      <family val="2"/>
    </font>
    <font>
      <b/>
      <sz val="11"/>
      <color rgb="FF1A2B4A"/>
      <name val="Arial"/>
      <family val="2"/>
    </font>
    <font>
      <sz val="11"/>
      <name val="Arial"/>
      <family val="2"/>
    </font>
    <font>
      <i/>
      <sz val="10"/>
      <color rgb="FF5A6A80"/>
      <name val="Arial"/>
      <family val="2"/>
    </font>
    <font>
      <b/>
      <sz val="12"/>
      <color rgb="FF2E6BCC"/>
      <name val="Arial"/>
      <family val="2"/>
    </font>
    <font>
      <sz val="11"/>
      <color rgb="FF1A2B4A"/>
      <name val="Arial"/>
      <family val="2"/>
    </font>
    <font>
      <b/>
      <sz val="16"/>
      <color rgb="FF1A2B4A"/>
      <name val="Arial"/>
      <family val="2"/>
    </font>
    <font>
      <b/>
      <sz val="11"/>
      <color rgb="FF2E6BCC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6"/>
      <color rgb="FF1A2B4A"/>
      <name val="Arial"/>
    </font>
    <font>
      <b/>
      <sz val="11"/>
      <color rgb="FF2E6BCC"/>
      <name val="Arial"/>
    </font>
    <font>
      <sz val="10"/>
      <color rgb="FF5A6A80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11"/>
      <color rgb="FF1A2B4A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8DC"/>
        <bgColor rgb="FFFFFFFF"/>
      </patternFill>
    </fill>
    <fill>
      <patternFill patternType="solid">
        <fgColor rgb="FF1A2B4A"/>
        <bgColor rgb="FF003366"/>
      </patternFill>
    </fill>
    <fill>
      <patternFill patternType="solid">
        <fgColor rgb="FF2E6BCC"/>
        <bgColor rgb="FF0066CC"/>
      </patternFill>
    </fill>
    <fill>
      <patternFill patternType="solid">
        <fgColor rgb="FFEEF1F5"/>
        <bgColor rgb="FFFFF8DC"/>
      </patternFill>
    </fill>
    <fill>
      <patternFill patternType="solid">
        <fgColor rgb="FF1A2B4A"/>
      </patternFill>
    </fill>
    <fill>
      <patternFill patternType="solid">
        <fgColor rgb="FF2E6BCC"/>
      </patternFill>
    </fill>
    <fill>
      <patternFill patternType="solid">
        <fgColor rgb="FFEEF1F5"/>
      </patternFill>
    </fill>
    <fill>
      <patternFill patternType="solid">
        <fgColor rgb="FFFFF8DC"/>
      </patternFill>
    </fill>
  </fills>
  <borders count="5">
    <border>
      <left/>
      <right/>
      <top/>
      <bottom/>
      <diagonal/>
    </border>
    <border>
      <left style="thin">
        <color rgb="FFC9D4E3"/>
      </left>
      <right style="thin">
        <color rgb="FFC9D4E3"/>
      </right>
      <top style="thin">
        <color rgb="FFC9D4E3"/>
      </top>
      <bottom style="thin">
        <color rgb="FFC9D4E3"/>
      </bottom>
      <diagonal/>
    </border>
    <border>
      <left/>
      <right/>
      <top style="thin">
        <color rgb="FFC9D4E3"/>
      </top>
      <bottom style="thin">
        <color rgb="FFC9D4E3"/>
      </bottom>
      <diagonal/>
    </border>
    <border>
      <left/>
      <right style="thin">
        <color rgb="FFC9D4E3"/>
      </right>
      <top style="thin">
        <color rgb="FFC9D4E3"/>
      </top>
      <bottom style="thin">
        <color rgb="FFC9D4E3"/>
      </bottom>
      <diagonal/>
    </border>
    <border>
      <left style="thin">
        <color rgb="FFC9D4E3"/>
      </left>
      <right style="thin">
        <color rgb="FFC9D4E3"/>
      </right>
      <top style="thin">
        <color rgb="FFC9D4E3"/>
      </top>
      <bottom style="thin">
        <color rgb="FFC9D4E3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0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8" fillId="0" borderId="0" xfId="0" applyFont="1"/>
    <xf numFmtId="0" fontId="9" fillId="0" borderId="0" xfId="0" applyFont="1"/>
    <xf numFmtId="0" fontId="11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165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top" wrapText="1"/>
    </xf>
    <xf numFmtId="164" fontId="7" fillId="2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6" fillId="6" borderId="4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164" fontId="17" fillId="9" borderId="4" xfId="0" applyNumberFormat="1" applyFont="1" applyFill="1" applyBorder="1" applyAlignment="1">
      <alignment horizontal="center" vertical="center" wrapText="1"/>
    </xf>
    <xf numFmtId="0" fontId="17" fillId="9" borderId="4" xfId="0" applyFont="1" applyFill="1" applyBorder="1" applyAlignment="1">
      <alignment vertical="top" wrapText="1"/>
    </xf>
    <xf numFmtId="165" fontId="17" fillId="9" borderId="4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vertical="top" wrapText="1"/>
    </xf>
    <xf numFmtId="0" fontId="7" fillId="2" borderId="4" xfId="0" applyFont="1" applyFill="1" applyBorder="1" applyAlignment="1">
      <alignment horizontal="left" vertical="top" wrapText="1"/>
    </xf>
    <xf numFmtId="0" fontId="15" fillId="6" borderId="4" xfId="0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0" fillId="3" borderId="1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FDE5C8"/>
          <bgColor rgb="FFFDE5C8"/>
        </patternFill>
      </fill>
    </dxf>
    <dxf>
      <fill>
        <patternFill patternType="solid">
          <fgColor rgb="FFF8D7DA"/>
          <bgColor rgb="FFF8D7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C"/>
      <rgbColor rgb="FFEEF1F5"/>
      <rgbColor rgb="FF660066"/>
      <rgbColor rgb="FFFF8080"/>
      <rgbColor rgb="FF0066CC"/>
      <rgbColor rgb="FFC9D4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6BCC"/>
      <rgbColor rgb="FF33CCCC"/>
      <rgbColor rgb="FF99CC00"/>
      <rgbColor rgb="FFFFCC00"/>
      <rgbColor rgb="FFFF9900"/>
      <rgbColor rgb="FFFF6600"/>
      <rgbColor rgb="FF5A6A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B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B4A"/>
    <pageSetUpPr fitToPage="1"/>
  </sheetPr>
  <dimension ref="B2:C14"/>
  <sheetViews>
    <sheetView showGridLines="0" zoomScale="200" zoomScaleNormal="100" workbookViewId="0">
      <selection activeCell="C18" sqref="C18"/>
    </sheetView>
  </sheetViews>
  <sheetFormatPr defaultColWidth="8.7109375" defaultRowHeight="15" x14ac:dyDescent="0.25"/>
  <cols>
    <col min="1" max="1" width="3" customWidth="1"/>
    <col min="2" max="2" width="24" customWidth="1"/>
    <col min="3" max="3" width="80" customWidth="1"/>
  </cols>
  <sheetData>
    <row r="2" spans="2:3" ht="24.95" customHeight="1" x14ac:dyDescent="0.4">
      <c r="B2" s="2" t="s">
        <v>12</v>
      </c>
    </row>
    <row r="3" spans="2:3" ht="15.95" customHeight="1" x14ac:dyDescent="0.25">
      <c r="B3" s="3" t="s">
        <v>13</v>
      </c>
    </row>
    <row r="5" spans="2:3" x14ac:dyDescent="0.25">
      <c r="B5" s="4" t="s">
        <v>14</v>
      </c>
      <c r="C5" s="5" t="s">
        <v>67</v>
      </c>
    </row>
    <row r="6" spans="2:3" x14ac:dyDescent="0.25">
      <c r="B6" s="4" t="s">
        <v>15</v>
      </c>
      <c r="C6" s="6">
        <v>46306</v>
      </c>
    </row>
    <row r="7" spans="2:3" x14ac:dyDescent="0.25">
      <c r="C7" s="7" t="s">
        <v>16</v>
      </c>
    </row>
    <row r="9" spans="2:3" ht="15.95" customHeight="1" x14ac:dyDescent="0.25">
      <c r="B9" s="8" t="s">
        <v>17</v>
      </c>
    </row>
    <row r="10" spans="2:3" ht="30" customHeight="1" x14ac:dyDescent="0.25">
      <c r="B10" s="9" t="s">
        <v>18</v>
      </c>
      <c r="C10" s="10" t="s">
        <v>19</v>
      </c>
    </row>
    <row r="11" spans="2:3" ht="19.5" customHeight="1" x14ac:dyDescent="0.25">
      <c r="B11" s="9" t="s">
        <v>20</v>
      </c>
      <c r="C11" s="10" t="s">
        <v>21</v>
      </c>
    </row>
    <row r="12" spans="2:3" ht="19.5" customHeight="1" x14ac:dyDescent="0.25">
      <c r="B12" s="9" t="s">
        <v>22</v>
      </c>
      <c r="C12" s="10" t="s">
        <v>23</v>
      </c>
    </row>
    <row r="13" spans="2:3" ht="19.5" customHeight="1" x14ac:dyDescent="0.25">
      <c r="B13" s="9" t="s">
        <v>24</v>
      </c>
      <c r="C13" s="10" t="s">
        <v>25</v>
      </c>
    </row>
    <row r="14" spans="2:3" x14ac:dyDescent="0.25">
      <c r="B14" s="9" t="s">
        <v>26</v>
      </c>
      <c r="C14" s="10" t="s">
        <v>27</v>
      </c>
    </row>
  </sheetData>
  <pageMargins left="0.75" right="0.75" top="1" bottom="1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6BCC"/>
    <pageSetUpPr fitToPage="1"/>
  </sheetPr>
  <dimension ref="A1:H65"/>
  <sheetViews>
    <sheetView showGridLines="0" tabSelected="1" zoomScale="130" zoomScaleNormal="130" workbookViewId="0">
      <pane xSplit="3" ySplit="5" topLeftCell="D7" activePane="bottomRight" state="frozen"/>
      <selection pane="topRight"/>
      <selection pane="bottomLeft"/>
      <selection pane="bottomRight" activeCell="D10" sqref="D10"/>
    </sheetView>
  </sheetViews>
  <sheetFormatPr defaultRowHeight="15" x14ac:dyDescent="0.25"/>
  <cols>
    <col min="1" max="1" width="8" customWidth="1"/>
    <col min="2" max="2" width="14" customWidth="1"/>
    <col min="3" max="3" width="8" customWidth="1"/>
    <col min="4" max="4" width="55" customWidth="1"/>
    <col min="5" max="5" width="40" customWidth="1"/>
    <col min="6" max="8" width="14" customWidth="1"/>
  </cols>
  <sheetData>
    <row r="1" spans="1:8" ht="20.100000000000001" customHeight="1" x14ac:dyDescent="0.3">
      <c r="A1" s="19" t="s">
        <v>28</v>
      </c>
    </row>
    <row r="2" spans="1:8" x14ac:dyDescent="0.25">
      <c r="A2" s="20" t="str">
        <f>IF(Guide!$C$5="","Associate: (enter full name on the Guide tab)","Associate: "&amp;Guide!$C$5)</f>
        <v>Associate: Abdalwahab Eltahir</v>
      </c>
    </row>
    <row r="3" spans="1:8" x14ac:dyDescent="0.25">
      <c r="A3" s="21" t="s">
        <v>29</v>
      </c>
    </row>
    <row r="4" spans="1:8" ht="24" customHeight="1" x14ac:dyDescent="0.25">
      <c r="A4" s="29"/>
      <c r="B4" s="29"/>
      <c r="C4" s="29"/>
      <c r="D4" s="30" t="s">
        <v>30</v>
      </c>
      <c r="E4" s="30"/>
      <c r="F4" s="30" t="s">
        <v>31</v>
      </c>
      <c r="G4" s="30"/>
      <c r="H4" s="30"/>
    </row>
    <row r="5" spans="1:8" ht="63.75" customHeight="1" x14ac:dyDescent="0.25">
      <c r="A5" s="22" t="s">
        <v>32</v>
      </c>
      <c r="B5" s="22" t="s">
        <v>3</v>
      </c>
      <c r="C5" s="22" t="s">
        <v>33</v>
      </c>
      <c r="D5" s="22" t="s">
        <v>34</v>
      </c>
      <c r="E5" s="22" t="s">
        <v>35</v>
      </c>
      <c r="F5" s="22" t="s">
        <v>36</v>
      </c>
      <c r="G5" s="22" t="s">
        <v>37</v>
      </c>
      <c r="H5" s="22" t="s">
        <v>10</v>
      </c>
    </row>
    <row r="6" spans="1:8" ht="75" customHeight="1" x14ac:dyDescent="0.25">
      <c r="A6" s="23">
        <v>2</v>
      </c>
      <c r="B6" s="24">
        <v>46310</v>
      </c>
      <c r="C6" s="23" t="str">
        <f t="shared" ref="C6:C37" si="0">IF(B6="","",CHOOSE(WEEKDAY(B6),"Sun","Mon","Tue","Wed","Thu","Fri","Sat"))</f>
        <v>Thu</v>
      </c>
      <c r="D6" s="25" t="s">
        <v>70</v>
      </c>
      <c r="E6" s="25" t="s">
        <v>69</v>
      </c>
      <c r="F6" s="26">
        <v>5</v>
      </c>
      <c r="G6" s="26">
        <v>2</v>
      </c>
      <c r="H6" s="26">
        <v>5</v>
      </c>
    </row>
    <row r="7" spans="1:8" ht="75" customHeight="1" x14ac:dyDescent="0.25">
      <c r="A7" s="23">
        <v>3</v>
      </c>
      <c r="B7" s="24">
        <v>46313</v>
      </c>
      <c r="C7" s="23" t="str">
        <f t="shared" si="0"/>
        <v>Sun</v>
      </c>
      <c r="D7" s="25" t="s">
        <v>68</v>
      </c>
      <c r="E7" s="25" t="s">
        <v>71</v>
      </c>
      <c r="F7" s="26">
        <v>5</v>
      </c>
      <c r="G7" s="26">
        <v>3</v>
      </c>
      <c r="H7" s="26">
        <v>5</v>
      </c>
    </row>
    <row r="8" spans="1:8" ht="75" customHeight="1" x14ac:dyDescent="0.25">
      <c r="A8" s="23">
        <v>3</v>
      </c>
      <c r="B8" s="24">
        <v>46314</v>
      </c>
      <c r="C8" s="23" t="s">
        <v>72</v>
      </c>
      <c r="D8" s="17" t="s">
        <v>73</v>
      </c>
      <c r="E8" s="17" t="s">
        <v>74</v>
      </c>
      <c r="F8" s="26">
        <v>5</v>
      </c>
      <c r="G8" s="26">
        <v>2</v>
      </c>
      <c r="H8" s="26">
        <v>5</v>
      </c>
    </row>
    <row r="9" spans="1:8" ht="75" customHeight="1" x14ac:dyDescent="0.25">
      <c r="A9" s="23">
        <v>3</v>
      </c>
      <c r="B9" s="24">
        <v>46315</v>
      </c>
      <c r="C9" s="23" t="str">
        <f t="shared" si="0"/>
        <v>Tue</v>
      </c>
      <c r="D9" s="35" t="s">
        <v>75</v>
      </c>
      <c r="E9" s="35" t="s">
        <v>76</v>
      </c>
      <c r="F9" s="26">
        <v>4</v>
      </c>
      <c r="G9" s="26">
        <v>1</v>
      </c>
      <c r="H9" s="26">
        <v>4</v>
      </c>
    </row>
    <row r="10" spans="1:8" ht="75" customHeight="1" x14ac:dyDescent="0.25">
      <c r="A10" s="23" t="str">
        <f t="shared" ref="A9:A37" si="1">IF(OR(B10="",StartDate=""),"",INT((B10-StartDate)/7)+1)</f>
        <v/>
      </c>
      <c r="B10" s="24"/>
      <c r="C10" s="23" t="str">
        <f t="shared" si="0"/>
        <v/>
      </c>
      <c r="D10" s="25"/>
      <c r="E10" s="25"/>
      <c r="F10" s="26"/>
      <c r="G10" s="26"/>
      <c r="H10" s="26"/>
    </row>
    <row r="11" spans="1:8" ht="75" customHeight="1" x14ac:dyDescent="0.25">
      <c r="A11" s="23" t="str">
        <f t="shared" si="1"/>
        <v/>
      </c>
      <c r="B11" s="24"/>
      <c r="C11" s="23" t="str">
        <f t="shared" si="0"/>
        <v/>
      </c>
      <c r="D11" s="25"/>
      <c r="E11" s="25"/>
      <c r="F11" s="26"/>
      <c r="G11" s="26"/>
      <c r="H11" s="26"/>
    </row>
    <row r="12" spans="1:8" ht="75" customHeight="1" x14ac:dyDescent="0.25">
      <c r="A12" s="23" t="str">
        <f t="shared" si="1"/>
        <v/>
      </c>
      <c r="B12" s="24"/>
      <c r="C12" s="23" t="str">
        <f t="shared" si="0"/>
        <v/>
      </c>
      <c r="D12" s="25"/>
      <c r="E12" s="25"/>
      <c r="F12" s="26"/>
      <c r="G12" s="26"/>
      <c r="H12" s="26"/>
    </row>
    <row r="13" spans="1:8" ht="75" customHeight="1" x14ac:dyDescent="0.25">
      <c r="A13" s="23" t="str">
        <f t="shared" si="1"/>
        <v/>
      </c>
      <c r="B13" s="24"/>
      <c r="C13" s="23" t="str">
        <f t="shared" si="0"/>
        <v/>
      </c>
      <c r="D13" s="25"/>
      <c r="E13" s="25"/>
      <c r="F13" s="26"/>
      <c r="G13" s="26"/>
      <c r="H13" s="26"/>
    </row>
    <row r="14" spans="1:8" ht="75" customHeight="1" x14ac:dyDescent="0.25">
      <c r="A14" s="23" t="str">
        <f t="shared" si="1"/>
        <v/>
      </c>
      <c r="B14" s="24"/>
      <c r="C14" s="23" t="str">
        <f t="shared" si="0"/>
        <v/>
      </c>
      <c r="D14" s="25"/>
      <c r="E14" s="25"/>
      <c r="F14" s="26"/>
      <c r="G14" s="26"/>
      <c r="H14" s="26"/>
    </row>
    <row r="15" spans="1:8" ht="75" customHeight="1" x14ac:dyDescent="0.25">
      <c r="A15" s="23" t="str">
        <f t="shared" si="1"/>
        <v/>
      </c>
      <c r="B15" s="24"/>
      <c r="C15" s="23" t="str">
        <f t="shared" si="0"/>
        <v/>
      </c>
      <c r="D15" s="25"/>
      <c r="E15" s="25"/>
      <c r="F15" s="26"/>
      <c r="G15" s="26"/>
      <c r="H15" s="26"/>
    </row>
    <row r="16" spans="1:8" ht="75" customHeight="1" x14ac:dyDescent="0.25">
      <c r="A16" s="23" t="str">
        <f t="shared" si="1"/>
        <v/>
      </c>
      <c r="B16" s="24"/>
      <c r="C16" s="23" t="str">
        <f t="shared" si="0"/>
        <v/>
      </c>
      <c r="D16" s="25"/>
      <c r="E16" s="25"/>
      <c r="F16" s="26"/>
      <c r="G16" s="26"/>
      <c r="H16" s="26"/>
    </row>
    <row r="17" spans="1:8" ht="75" customHeight="1" x14ac:dyDescent="0.25">
      <c r="A17" s="23" t="str">
        <f t="shared" si="1"/>
        <v/>
      </c>
      <c r="B17" s="24"/>
      <c r="C17" s="23" t="str">
        <f t="shared" si="0"/>
        <v/>
      </c>
      <c r="D17" s="25"/>
      <c r="E17" s="25"/>
      <c r="F17" s="26"/>
      <c r="G17" s="26"/>
      <c r="H17" s="26"/>
    </row>
    <row r="18" spans="1:8" ht="75" customHeight="1" x14ac:dyDescent="0.25">
      <c r="A18" s="23" t="str">
        <f t="shared" si="1"/>
        <v/>
      </c>
      <c r="B18" s="24"/>
      <c r="C18" s="23" t="str">
        <f t="shared" si="0"/>
        <v/>
      </c>
      <c r="D18" s="25"/>
      <c r="E18" s="25"/>
      <c r="F18" s="26"/>
      <c r="G18" s="26"/>
      <c r="H18" s="26"/>
    </row>
    <row r="19" spans="1:8" ht="75" customHeight="1" x14ac:dyDescent="0.25">
      <c r="A19" s="23" t="str">
        <f t="shared" si="1"/>
        <v/>
      </c>
      <c r="B19" s="24"/>
      <c r="C19" s="23" t="str">
        <f t="shared" si="0"/>
        <v/>
      </c>
      <c r="D19" s="25"/>
      <c r="E19" s="25"/>
      <c r="F19" s="26"/>
      <c r="G19" s="26"/>
      <c r="H19" s="26"/>
    </row>
    <row r="20" spans="1:8" ht="75" customHeight="1" x14ac:dyDescent="0.25">
      <c r="A20" s="23" t="str">
        <f t="shared" si="1"/>
        <v/>
      </c>
      <c r="B20" s="24"/>
      <c r="C20" s="23" t="str">
        <f t="shared" si="0"/>
        <v/>
      </c>
      <c r="D20" s="25"/>
      <c r="E20" s="25"/>
      <c r="F20" s="26"/>
      <c r="G20" s="26"/>
      <c r="H20" s="26"/>
    </row>
    <row r="21" spans="1:8" ht="75" customHeight="1" x14ac:dyDescent="0.25">
      <c r="A21" s="23" t="str">
        <f t="shared" si="1"/>
        <v/>
      </c>
      <c r="B21" s="24"/>
      <c r="C21" s="23" t="str">
        <f t="shared" si="0"/>
        <v/>
      </c>
      <c r="D21" s="25"/>
      <c r="E21" s="25"/>
      <c r="F21" s="26"/>
      <c r="G21" s="26"/>
      <c r="H21" s="26"/>
    </row>
    <row r="22" spans="1:8" ht="75" customHeight="1" x14ac:dyDescent="0.25">
      <c r="A22" s="23" t="str">
        <f t="shared" si="1"/>
        <v/>
      </c>
      <c r="B22" s="24"/>
      <c r="C22" s="23" t="str">
        <f t="shared" si="0"/>
        <v/>
      </c>
      <c r="D22" s="25"/>
      <c r="E22" s="25"/>
      <c r="F22" s="26"/>
      <c r="G22" s="26"/>
      <c r="H22" s="26"/>
    </row>
    <row r="23" spans="1:8" ht="75" customHeight="1" x14ac:dyDescent="0.25">
      <c r="A23" s="23" t="str">
        <f t="shared" si="1"/>
        <v/>
      </c>
      <c r="B23" s="24"/>
      <c r="C23" s="23" t="str">
        <f t="shared" si="0"/>
        <v/>
      </c>
      <c r="D23" s="25"/>
      <c r="E23" s="25"/>
      <c r="F23" s="26"/>
      <c r="G23" s="26"/>
      <c r="H23" s="26"/>
    </row>
    <row r="24" spans="1:8" ht="75" customHeight="1" x14ac:dyDescent="0.25">
      <c r="A24" s="23" t="str">
        <f t="shared" si="1"/>
        <v/>
      </c>
      <c r="B24" s="24"/>
      <c r="C24" s="23" t="str">
        <f t="shared" si="0"/>
        <v/>
      </c>
      <c r="D24" s="25"/>
      <c r="E24" s="25"/>
      <c r="F24" s="26"/>
      <c r="G24" s="26"/>
      <c r="H24" s="26"/>
    </row>
    <row r="25" spans="1:8" ht="75" customHeight="1" x14ac:dyDescent="0.25">
      <c r="A25" s="23" t="str">
        <f t="shared" si="1"/>
        <v/>
      </c>
      <c r="B25" s="24"/>
      <c r="C25" s="23" t="str">
        <f t="shared" si="0"/>
        <v/>
      </c>
      <c r="D25" s="25"/>
      <c r="E25" s="25"/>
      <c r="F25" s="26"/>
      <c r="G25" s="26"/>
      <c r="H25" s="26"/>
    </row>
    <row r="26" spans="1:8" ht="75" customHeight="1" x14ac:dyDescent="0.25">
      <c r="A26" s="23" t="str">
        <f t="shared" si="1"/>
        <v/>
      </c>
      <c r="B26" s="24"/>
      <c r="C26" s="23" t="str">
        <f t="shared" si="0"/>
        <v/>
      </c>
      <c r="D26" s="25"/>
      <c r="E26" s="25"/>
      <c r="F26" s="26"/>
      <c r="G26" s="26"/>
      <c r="H26" s="26"/>
    </row>
    <row r="27" spans="1:8" ht="75" customHeight="1" x14ac:dyDescent="0.25">
      <c r="A27" s="23" t="str">
        <f t="shared" si="1"/>
        <v/>
      </c>
      <c r="B27" s="24"/>
      <c r="C27" s="23" t="str">
        <f t="shared" si="0"/>
        <v/>
      </c>
      <c r="D27" s="25"/>
      <c r="E27" s="25"/>
      <c r="F27" s="26"/>
      <c r="G27" s="26"/>
      <c r="H27" s="26"/>
    </row>
    <row r="28" spans="1:8" ht="75" customHeight="1" x14ac:dyDescent="0.25">
      <c r="A28" s="23" t="str">
        <f t="shared" si="1"/>
        <v/>
      </c>
      <c r="B28" s="24"/>
      <c r="C28" s="23" t="str">
        <f t="shared" si="0"/>
        <v/>
      </c>
      <c r="D28" s="25"/>
      <c r="E28" s="25"/>
      <c r="F28" s="26"/>
      <c r="G28" s="26"/>
      <c r="H28" s="26"/>
    </row>
    <row r="29" spans="1:8" ht="75" customHeight="1" x14ac:dyDescent="0.25">
      <c r="A29" s="23" t="str">
        <f t="shared" si="1"/>
        <v/>
      </c>
      <c r="B29" s="24"/>
      <c r="C29" s="23" t="str">
        <f t="shared" si="0"/>
        <v/>
      </c>
      <c r="D29" s="25"/>
      <c r="E29" s="25"/>
      <c r="F29" s="26"/>
      <c r="G29" s="26"/>
      <c r="H29" s="26"/>
    </row>
    <row r="30" spans="1:8" ht="75" customHeight="1" x14ac:dyDescent="0.25">
      <c r="A30" s="23" t="str">
        <f t="shared" si="1"/>
        <v/>
      </c>
      <c r="B30" s="24"/>
      <c r="C30" s="23" t="str">
        <f t="shared" si="0"/>
        <v/>
      </c>
      <c r="D30" s="25"/>
      <c r="E30" s="25"/>
      <c r="F30" s="26"/>
      <c r="G30" s="26"/>
      <c r="H30" s="26"/>
    </row>
    <row r="31" spans="1:8" ht="75" customHeight="1" x14ac:dyDescent="0.25">
      <c r="A31" s="23" t="str">
        <f t="shared" si="1"/>
        <v/>
      </c>
      <c r="B31" s="24"/>
      <c r="C31" s="23" t="str">
        <f t="shared" si="0"/>
        <v/>
      </c>
      <c r="D31" s="25"/>
      <c r="E31" s="25"/>
      <c r="F31" s="26"/>
      <c r="G31" s="26"/>
      <c r="H31" s="26"/>
    </row>
    <row r="32" spans="1:8" ht="75" customHeight="1" x14ac:dyDescent="0.25">
      <c r="A32" s="23" t="str">
        <f t="shared" si="1"/>
        <v/>
      </c>
      <c r="B32" s="24"/>
      <c r="C32" s="23" t="str">
        <f t="shared" si="0"/>
        <v/>
      </c>
      <c r="D32" s="25"/>
      <c r="E32" s="25"/>
      <c r="F32" s="26"/>
      <c r="G32" s="26"/>
      <c r="H32" s="26"/>
    </row>
    <row r="33" spans="1:8" ht="75" customHeight="1" x14ac:dyDescent="0.25">
      <c r="A33" s="23" t="str">
        <f t="shared" si="1"/>
        <v/>
      </c>
      <c r="B33" s="24"/>
      <c r="C33" s="23" t="str">
        <f t="shared" si="0"/>
        <v/>
      </c>
      <c r="D33" s="25"/>
      <c r="E33" s="25"/>
      <c r="F33" s="26"/>
      <c r="G33" s="26"/>
      <c r="H33" s="26"/>
    </row>
    <row r="34" spans="1:8" ht="75" customHeight="1" x14ac:dyDescent="0.25">
      <c r="A34" s="23" t="str">
        <f t="shared" si="1"/>
        <v/>
      </c>
      <c r="B34" s="24"/>
      <c r="C34" s="23" t="str">
        <f t="shared" si="0"/>
        <v/>
      </c>
      <c r="D34" s="25"/>
      <c r="E34" s="25"/>
      <c r="F34" s="26"/>
      <c r="G34" s="26"/>
      <c r="H34" s="26"/>
    </row>
    <row r="35" spans="1:8" ht="75" customHeight="1" x14ac:dyDescent="0.25">
      <c r="A35" s="23" t="str">
        <f t="shared" si="1"/>
        <v/>
      </c>
      <c r="B35" s="24"/>
      <c r="C35" s="23" t="str">
        <f t="shared" si="0"/>
        <v/>
      </c>
      <c r="D35" s="25"/>
      <c r="E35" s="25"/>
      <c r="F35" s="26"/>
      <c r="G35" s="26"/>
      <c r="H35" s="26"/>
    </row>
    <row r="36" spans="1:8" ht="75" customHeight="1" x14ac:dyDescent="0.25">
      <c r="A36" s="23" t="str">
        <f t="shared" si="1"/>
        <v/>
      </c>
      <c r="B36" s="24"/>
      <c r="C36" s="23" t="str">
        <f t="shared" si="0"/>
        <v/>
      </c>
      <c r="D36" s="25"/>
      <c r="E36" s="25"/>
      <c r="F36" s="26"/>
      <c r="G36" s="26"/>
      <c r="H36" s="26"/>
    </row>
    <row r="37" spans="1:8" ht="75" customHeight="1" x14ac:dyDescent="0.25">
      <c r="A37" s="23" t="str">
        <f t="shared" si="1"/>
        <v/>
      </c>
      <c r="B37" s="24"/>
      <c r="C37" s="23" t="str">
        <f t="shared" si="0"/>
        <v/>
      </c>
      <c r="D37" s="25"/>
      <c r="E37" s="25"/>
      <c r="F37" s="26"/>
      <c r="G37" s="26"/>
      <c r="H37" s="26"/>
    </row>
    <row r="38" spans="1:8" ht="75" customHeight="1" x14ac:dyDescent="0.25">
      <c r="A38" s="23" t="str">
        <f t="shared" ref="A38:A65" si="2">IF(OR(B38="",StartDate=""),"",INT((B38-StartDate)/7)+1)</f>
        <v/>
      </c>
      <c r="B38" s="24"/>
      <c r="C38" s="23" t="str">
        <f t="shared" ref="C38:C65" si="3">IF(B38="","",CHOOSE(WEEKDAY(B38),"Sun","Mon","Tue","Wed","Thu","Fri","Sat"))</f>
        <v/>
      </c>
      <c r="D38" s="25"/>
      <c r="E38" s="25"/>
      <c r="F38" s="26"/>
      <c r="G38" s="26"/>
      <c r="H38" s="26"/>
    </row>
    <row r="39" spans="1:8" ht="75" customHeight="1" x14ac:dyDescent="0.25">
      <c r="A39" s="23" t="str">
        <f t="shared" si="2"/>
        <v/>
      </c>
      <c r="B39" s="24"/>
      <c r="C39" s="23" t="str">
        <f t="shared" si="3"/>
        <v/>
      </c>
      <c r="D39" s="25"/>
      <c r="E39" s="25"/>
      <c r="F39" s="26"/>
      <c r="G39" s="26"/>
      <c r="H39" s="26"/>
    </row>
    <row r="40" spans="1:8" ht="75" customHeight="1" x14ac:dyDescent="0.25">
      <c r="A40" s="23" t="str">
        <f t="shared" si="2"/>
        <v/>
      </c>
      <c r="B40" s="24"/>
      <c r="C40" s="23" t="str">
        <f t="shared" si="3"/>
        <v/>
      </c>
      <c r="D40" s="25"/>
      <c r="E40" s="25"/>
      <c r="F40" s="26"/>
      <c r="G40" s="26"/>
      <c r="H40" s="26"/>
    </row>
    <row r="41" spans="1:8" ht="75" customHeight="1" x14ac:dyDescent="0.25">
      <c r="A41" s="23" t="str">
        <f t="shared" si="2"/>
        <v/>
      </c>
      <c r="B41" s="24"/>
      <c r="C41" s="23" t="str">
        <f t="shared" si="3"/>
        <v/>
      </c>
      <c r="D41" s="25"/>
      <c r="E41" s="25"/>
      <c r="F41" s="26"/>
      <c r="G41" s="26"/>
      <c r="H41" s="26"/>
    </row>
    <row r="42" spans="1:8" ht="75" customHeight="1" x14ac:dyDescent="0.25">
      <c r="A42" s="23" t="str">
        <f t="shared" si="2"/>
        <v/>
      </c>
      <c r="B42" s="24"/>
      <c r="C42" s="23" t="str">
        <f t="shared" si="3"/>
        <v/>
      </c>
      <c r="D42" s="25"/>
      <c r="E42" s="25"/>
      <c r="F42" s="26"/>
      <c r="G42" s="26"/>
      <c r="H42" s="26"/>
    </row>
    <row r="43" spans="1:8" ht="75" customHeight="1" x14ac:dyDescent="0.25">
      <c r="A43" s="23" t="str">
        <f t="shared" si="2"/>
        <v/>
      </c>
      <c r="B43" s="24"/>
      <c r="C43" s="23" t="str">
        <f t="shared" si="3"/>
        <v/>
      </c>
      <c r="D43" s="25"/>
      <c r="E43" s="25"/>
      <c r="F43" s="26"/>
      <c r="G43" s="26"/>
      <c r="H43" s="26"/>
    </row>
    <row r="44" spans="1:8" ht="75" customHeight="1" x14ac:dyDescent="0.25">
      <c r="A44" s="23" t="str">
        <f t="shared" si="2"/>
        <v/>
      </c>
      <c r="B44" s="24"/>
      <c r="C44" s="23" t="str">
        <f t="shared" si="3"/>
        <v/>
      </c>
      <c r="D44" s="25"/>
      <c r="E44" s="25"/>
      <c r="F44" s="26"/>
      <c r="G44" s="26"/>
      <c r="H44" s="26"/>
    </row>
    <row r="45" spans="1:8" ht="75" customHeight="1" x14ac:dyDescent="0.25">
      <c r="A45" s="23" t="str">
        <f t="shared" si="2"/>
        <v/>
      </c>
      <c r="B45" s="24"/>
      <c r="C45" s="23" t="str">
        <f t="shared" si="3"/>
        <v/>
      </c>
      <c r="D45" s="25"/>
      <c r="E45" s="25"/>
      <c r="F45" s="26"/>
      <c r="G45" s="26"/>
      <c r="H45" s="26"/>
    </row>
    <row r="46" spans="1:8" ht="75" customHeight="1" x14ac:dyDescent="0.25">
      <c r="A46" s="23" t="str">
        <f t="shared" si="2"/>
        <v/>
      </c>
      <c r="B46" s="24"/>
      <c r="C46" s="23" t="str">
        <f t="shared" si="3"/>
        <v/>
      </c>
      <c r="D46" s="25"/>
      <c r="E46" s="25"/>
      <c r="F46" s="26"/>
      <c r="G46" s="26"/>
      <c r="H46" s="26"/>
    </row>
    <row r="47" spans="1:8" ht="75" customHeight="1" x14ac:dyDescent="0.25">
      <c r="A47" s="23" t="str">
        <f t="shared" si="2"/>
        <v/>
      </c>
      <c r="B47" s="24"/>
      <c r="C47" s="23" t="str">
        <f t="shared" si="3"/>
        <v/>
      </c>
      <c r="D47" s="25"/>
      <c r="E47" s="25"/>
      <c r="F47" s="26"/>
      <c r="G47" s="26"/>
      <c r="H47" s="26"/>
    </row>
    <row r="48" spans="1:8" ht="75" customHeight="1" x14ac:dyDescent="0.25">
      <c r="A48" s="23" t="str">
        <f t="shared" si="2"/>
        <v/>
      </c>
      <c r="B48" s="24"/>
      <c r="C48" s="23" t="str">
        <f t="shared" si="3"/>
        <v/>
      </c>
      <c r="D48" s="25"/>
      <c r="E48" s="25"/>
      <c r="F48" s="26"/>
      <c r="G48" s="26"/>
      <c r="H48" s="26"/>
    </row>
    <row r="49" spans="1:8" ht="75" customHeight="1" x14ac:dyDescent="0.25">
      <c r="A49" s="23" t="str">
        <f t="shared" si="2"/>
        <v/>
      </c>
      <c r="B49" s="24"/>
      <c r="C49" s="23" t="str">
        <f t="shared" si="3"/>
        <v/>
      </c>
      <c r="D49" s="25"/>
      <c r="E49" s="25"/>
      <c r="F49" s="26"/>
      <c r="G49" s="26"/>
      <c r="H49" s="26"/>
    </row>
    <row r="50" spans="1:8" ht="75" customHeight="1" x14ac:dyDescent="0.25">
      <c r="A50" s="23" t="str">
        <f t="shared" si="2"/>
        <v/>
      </c>
      <c r="B50" s="24"/>
      <c r="C50" s="23" t="str">
        <f t="shared" si="3"/>
        <v/>
      </c>
      <c r="D50" s="25"/>
      <c r="E50" s="25"/>
      <c r="F50" s="26"/>
      <c r="G50" s="26"/>
      <c r="H50" s="26"/>
    </row>
    <row r="51" spans="1:8" ht="75" customHeight="1" x14ac:dyDescent="0.25">
      <c r="A51" s="23" t="str">
        <f t="shared" si="2"/>
        <v/>
      </c>
      <c r="B51" s="24"/>
      <c r="C51" s="23" t="str">
        <f t="shared" si="3"/>
        <v/>
      </c>
      <c r="D51" s="25"/>
      <c r="E51" s="25"/>
      <c r="F51" s="26"/>
      <c r="G51" s="26"/>
      <c r="H51" s="26"/>
    </row>
    <row r="52" spans="1:8" ht="75" customHeight="1" x14ac:dyDescent="0.25">
      <c r="A52" s="23" t="str">
        <f t="shared" si="2"/>
        <v/>
      </c>
      <c r="B52" s="24"/>
      <c r="C52" s="23" t="str">
        <f t="shared" si="3"/>
        <v/>
      </c>
      <c r="D52" s="25"/>
      <c r="E52" s="25"/>
      <c r="F52" s="26"/>
      <c r="G52" s="26"/>
      <c r="H52" s="26"/>
    </row>
    <row r="53" spans="1:8" ht="75" customHeight="1" x14ac:dyDescent="0.25">
      <c r="A53" s="23" t="str">
        <f t="shared" si="2"/>
        <v/>
      </c>
      <c r="B53" s="24"/>
      <c r="C53" s="23" t="str">
        <f t="shared" si="3"/>
        <v/>
      </c>
      <c r="D53" s="25"/>
      <c r="E53" s="25"/>
      <c r="F53" s="26"/>
      <c r="G53" s="26"/>
      <c r="H53" s="26"/>
    </row>
    <row r="54" spans="1:8" ht="75" customHeight="1" x14ac:dyDescent="0.25">
      <c r="A54" s="23" t="str">
        <f t="shared" si="2"/>
        <v/>
      </c>
      <c r="B54" s="24"/>
      <c r="C54" s="23" t="str">
        <f t="shared" si="3"/>
        <v/>
      </c>
      <c r="D54" s="25"/>
      <c r="E54" s="25"/>
      <c r="F54" s="26"/>
      <c r="G54" s="26"/>
      <c r="H54" s="26"/>
    </row>
    <row r="55" spans="1:8" ht="75" customHeight="1" x14ac:dyDescent="0.25">
      <c r="A55" s="23" t="str">
        <f t="shared" si="2"/>
        <v/>
      </c>
      <c r="B55" s="24"/>
      <c r="C55" s="23" t="str">
        <f t="shared" si="3"/>
        <v/>
      </c>
      <c r="D55" s="25"/>
      <c r="E55" s="25"/>
      <c r="F55" s="26"/>
      <c r="G55" s="26"/>
      <c r="H55" s="26"/>
    </row>
    <row r="56" spans="1:8" ht="75" customHeight="1" x14ac:dyDescent="0.25">
      <c r="A56" s="23" t="str">
        <f t="shared" si="2"/>
        <v/>
      </c>
      <c r="B56" s="24"/>
      <c r="C56" s="23" t="str">
        <f t="shared" si="3"/>
        <v/>
      </c>
      <c r="D56" s="25"/>
      <c r="E56" s="25"/>
      <c r="F56" s="26"/>
      <c r="G56" s="26"/>
      <c r="H56" s="26"/>
    </row>
    <row r="57" spans="1:8" ht="75" customHeight="1" x14ac:dyDescent="0.25">
      <c r="A57" s="23" t="str">
        <f t="shared" si="2"/>
        <v/>
      </c>
      <c r="B57" s="24"/>
      <c r="C57" s="23" t="str">
        <f t="shared" si="3"/>
        <v/>
      </c>
      <c r="D57" s="25"/>
      <c r="E57" s="25"/>
      <c r="F57" s="26"/>
      <c r="G57" s="26"/>
      <c r="H57" s="26"/>
    </row>
    <row r="58" spans="1:8" ht="75" customHeight="1" x14ac:dyDescent="0.25">
      <c r="A58" s="23" t="str">
        <f t="shared" si="2"/>
        <v/>
      </c>
      <c r="B58" s="24"/>
      <c r="C58" s="23" t="str">
        <f t="shared" si="3"/>
        <v/>
      </c>
      <c r="D58" s="25"/>
      <c r="E58" s="25"/>
      <c r="F58" s="26"/>
      <c r="G58" s="26"/>
      <c r="H58" s="26"/>
    </row>
    <row r="59" spans="1:8" ht="75" customHeight="1" x14ac:dyDescent="0.25">
      <c r="A59" s="23" t="str">
        <f t="shared" si="2"/>
        <v/>
      </c>
      <c r="B59" s="24"/>
      <c r="C59" s="23" t="str">
        <f t="shared" si="3"/>
        <v/>
      </c>
      <c r="D59" s="25"/>
      <c r="E59" s="25"/>
      <c r="F59" s="26"/>
      <c r="G59" s="26"/>
      <c r="H59" s="26"/>
    </row>
    <row r="60" spans="1:8" ht="75" customHeight="1" x14ac:dyDescent="0.25">
      <c r="A60" s="23" t="str">
        <f t="shared" si="2"/>
        <v/>
      </c>
      <c r="B60" s="24"/>
      <c r="C60" s="23" t="str">
        <f t="shared" si="3"/>
        <v/>
      </c>
      <c r="D60" s="25"/>
      <c r="E60" s="25"/>
      <c r="F60" s="26"/>
      <c r="G60" s="26"/>
      <c r="H60" s="26"/>
    </row>
    <row r="61" spans="1:8" ht="75" customHeight="1" x14ac:dyDescent="0.25">
      <c r="A61" s="23" t="str">
        <f t="shared" si="2"/>
        <v/>
      </c>
      <c r="B61" s="24"/>
      <c r="C61" s="23" t="str">
        <f t="shared" si="3"/>
        <v/>
      </c>
      <c r="D61" s="25"/>
      <c r="E61" s="25"/>
      <c r="F61" s="26"/>
      <c r="G61" s="26"/>
      <c r="H61" s="26"/>
    </row>
    <row r="62" spans="1:8" ht="75" customHeight="1" x14ac:dyDescent="0.25">
      <c r="A62" s="23" t="str">
        <f t="shared" si="2"/>
        <v/>
      </c>
      <c r="B62" s="24"/>
      <c r="C62" s="23" t="str">
        <f t="shared" si="3"/>
        <v/>
      </c>
      <c r="D62" s="25"/>
      <c r="E62" s="25"/>
      <c r="F62" s="26"/>
      <c r="G62" s="26"/>
      <c r="H62" s="26"/>
    </row>
    <row r="63" spans="1:8" ht="75" customHeight="1" x14ac:dyDescent="0.25">
      <c r="A63" s="23" t="str">
        <f t="shared" si="2"/>
        <v/>
      </c>
      <c r="B63" s="24"/>
      <c r="C63" s="23" t="str">
        <f t="shared" si="3"/>
        <v/>
      </c>
      <c r="D63" s="25"/>
      <c r="E63" s="25"/>
      <c r="F63" s="26"/>
      <c r="G63" s="26"/>
      <c r="H63" s="26"/>
    </row>
    <row r="64" spans="1:8" ht="75" customHeight="1" x14ac:dyDescent="0.25">
      <c r="A64" s="23" t="str">
        <f t="shared" si="2"/>
        <v/>
      </c>
      <c r="B64" s="24"/>
      <c r="C64" s="23" t="str">
        <f t="shared" si="3"/>
        <v/>
      </c>
      <c r="D64" s="25"/>
      <c r="E64" s="25"/>
      <c r="F64" s="26"/>
      <c r="G64" s="26"/>
      <c r="H64" s="26"/>
    </row>
    <row r="65" spans="1:8" ht="75" customHeight="1" x14ac:dyDescent="0.25">
      <c r="A65" s="23" t="str">
        <f t="shared" si="2"/>
        <v/>
      </c>
      <c r="B65" s="24"/>
      <c r="C65" s="23" t="str">
        <f t="shared" si="3"/>
        <v/>
      </c>
      <c r="D65" s="25"/>
      <c r="E65" s="25"/>
      <c r="F65" s="26"/>
      <c r="G65" s="26"/>
      <c r="H65" s="26"/>
    </row>
  </sheetData>
  <mergeCells count="3">
    <mergeCell ref="A4:C4"/>
    <mergeCell ref="F4:H4"/>
    <mergeCell ref="D4:E4"/>
  </mergeCells>
  <conditionalFormatting sqref="D6:D7 D9:D65">
    <cfRule type="expression" dxfId="1" priority="1">
      <formula>AND($B6&lt;&gt;"",$B6&lt;TODAY(),$D6="")</formula>
    </cfRule>
  </conditionalFormatting>
  <conditionalFormatting sqref="F6:H65">
    <cfRule type="expression" dxfId="0" priority="2">
      <formula>AND(F6&lt;&gt;"",F6&lt;=2)</formula>
    </cfRule>
  </conditionalFormatting>
  <dataValidations count="2">
    <dataValidation type="date" operator="greaterThan" showErrorMessage="1" errorTitle="Date" error="Enter a date, e.g. 15/10/2026" sqref="B6:B65" xr:uid="{00000000-0002-0000-0100-000000000000}">
      <formula1>DATE(2020,1,1)</formula1>
    </dataValidation>
    <dataValidation type="whole" showErrorMessage="1" errorTitle="Rating" error="Enter a whole number from 1 to 5" sqref="F6:H65" xr:uid="{00000000-0002-0000-0100-000001000000}">
      <formula1>1</formula1>
      <formula2>5</formula2>
    </dataValidation>
  </dataValidation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6BCC"/>
    <pageSetUpPr fitToPage="1"/>
  </sheetPr>
  <dimension ref="A1:I45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10" sqref="B10"/>
    </sheetView>
  </sheetViews>
  <sheetFormatPr defaultColWidth="8.7109375" defaultRowHeight="15" x14ac:dyDescent="0.25"/>
  <cols>
    <col min="1" max="1" width="15" customWidth="1"/>
    <col min="2" max="2" width="26" customWidth="1"/>
    <col min="3" max="3" width="44" customWidth="1"/>
    <col min="4" max="4" width="34" customWidth="1"/>
    <col min="5" max="5" width="36" customWidth="1"/>
    <col min="6" max="8" width="22" customWidth="1"/>
    <col min="9" max="9" width="44" customWidth="1"/>
  </cols>
  <sheetData>
    <row r="1" spans="1:9" ht="20.100000000000001" customHeight="1" x14ac:dyDescent="0.3">
      <c r="A1" s="11" t="s">
        <v>0</v>
      </c>
    </row>
    <row r="2" spans="1:9" x14ac:dyDescent="0.25">
      <c r="A2" s="12" t="str">
        <f>IF(Guide!$C$5="","Associate: (enter full name on the Guide tab)","Associate: "&amp;Guide!$C$5)</f>
        <v>Associate: Abdalwahab Eltahir</v>
      </c>
    </row>
    <row r="3" spans="1:9" x14ac:dyDescent="0.25">
      <c r="A3" s="7" t="s">
        <v>1</v>
      </c>
    </row>
    <row r="4" spans="1:9" ht="24" customHeight="1" x14ac:dyDescent="0.25">
      <c r="A4" s="34"/>
      <c r="B4" s="32"/>
      <c r="C4" s="32"/>
      <c r="D4" s="32"/>
      <c r="E4" s="33"/>
      <c r="F4" s="31" t="s">
        <v>2</v>
      </c>
      <c r="G4" s="32"/>
      <c r="H4" s="33"/>
      <c r="I4" s="1"/>
    </row>
    <row r="5" spans="1:9" ht="63.75" customHeight="1" x14ac:dyDescent="0.2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  <c r="I5" s="13" t="s">
        <v>11</v>
      </c>
    </row>
    <row r="6" spans="1:9" ht="79.5" customHeight="1" x14ac:dyDescent="0.25">
      <c r="A6" s="18">
        <v>46300</v>
      </c>
      <c r="B6" s="17" t="s">
        <v>49</v>
      </c>
      <c r="C6" s="17" t="s">
        <v>50</v>
      </c>
      <c r="D6" s="17" t="s">
        <v>51</v>
      </c>
      <c r="E6" s="17" t="s">
        <v>52</v>
      </c>
      <c r="F6" s="16">
        <v>5</v>
      </c>
      <c r="G6" s="16">
        <v>1</v>
      </c>
      <c r="H6" s="16">
        <v>5</v>
      </c>
      <c r="I6" s="17" t="s">
        <v>53</v>
      </c>
    </row>
    <row r="7" spans="1:9" ht="79.5" customHeight="1" x14ac:dyDescent="0.25">
      <c r="A7" s="18">
        <v>46302</v>
      </c>
      <c r="B7" s="17" t="s">
        <v>49</v>
      </c>
      <c r="C7" s="17" t="s">
        <v>54</v>
      </c>
      <c r="D7" s="17" t="s">
        <v>51</v>
      </c>
      <c r="E7" s="17" t="s">
        <v>55</v>
      </c>
      <c r="F7" s="16">
        <v>5</v>
      </c>
      <c r="G7" s="16">
        <v>1</v>
      </c>
      <c r="H7" s="16">
        <v>5</v>
      </c>
      <c r="I7" s="17" t="s">
        <v>62</v>
      </c>
    </row>
    <row r="8" spans="1:9" ht="79.5" customHeight="1" x14ac:dyDescent="0.25">
      <c r="A8" s="18">
        <v>46307</v>
      </c>
      <c r="B8" s="17" t="s">
        <v>49</v>
      </c>
      <c r="C8" s="17" t="s">
        <v>56</v>
      </c>
      <c r="D8" s="17" t="s">
        <v>51</v>
      </c>
      <c r="E8" s="17" t="s">
        <v>57</v>
      </c>
      <c r="F8" s="16">
        <v>5</v>
      </c>
      <c r="G8" s="16">
        <v>1</v>
      </c>
      <c r="H8" s="16">
        <v>5</v>
      </c>
      <c r="I8" s="17" t="s">
        <v>58</v>
      </c>
    </row>
    <row r="9" spans="1:9" ht="79.5" customHeight="1" x14ac:dyDescent="0.25">
      <c r="A9" s="18">
        <v>46309</v>
      </c>
      <c r="B9" s="17" t="s">
        <v>49</v>
      </c>
      <c r="C9" s="17" t="s">
        <v>59</v>
      </c>
      <c r="D9" s="17" t="s">
        <v>60</v>
      </c>
      <c r="E9" s="17" t="s">
        <v>52</v>
      </c>
      <c r="F9" s="16">
        <v>5</v>
      </c>
      <c r="G9" s="16">
        <v>1</v>
      </c>
      <c r="H9" s="16">
        <v>5</v>
      </c>
      <c r="I9" s="17" t="s">
        <v>61</v>
      </c>
    </row>
    <row r="10" spans="1:9" ht="79.5" customHeight="1" x14ac:dyDescent="0.25">
      <c r="A10" s="18"/>
      <c r="B10" s="17"/>
      <c r="C10" s="17"/>
      <c r="D10" s="17"/>
      <c r="E10" s="17"/>
      <c r="F10" s="16"/>
      <c r="G10" s="16"/>
      <c r="H10" s="16"/>
      <c r="I10" s="17"/>
    </row>
    <row r="11" spans="1:9" ht="79.5" customHeight="1" x14ac:dyDescent="0.25">
      <c r="A11" s="18"/>
      <c r="B11" s="17"/>
      <c r="C11" s="17"/>
      <c r="D11" s="17"/>
      <c r="E11" s="17"/>
      <c r="F11" s="16"/>
      <c r="G11" s="16"/>
      <c r="H11" s="16"/>
      <c r="I11" s="17"/>
    </row>
    <row r="12" spans="1:9" ht="79.5" customHeight="1" x14ac:dyDescent="0.25">
      <c r="A12" s="18"/>
      <c r="B12" s="17"/>
      <c r="C12" s="17"/>
      <c r="D12" s="17"/>
      <c r="E12" s="17"/>
      <c r="F12" s="16"/>
      <c r="G12" s="16"/>
      <c r="H12" s="16"/>
      <c r="I12" s="17"/>
    </row>
    <row r="13" spans="1:9" ht="79.5" customHeight="1" x14ac:dyDescent="0.25">
      <c r="A13" s="18"/>
      <c r="B13" s="17"/>
      <c r="C13" s="17"/>
      <c r="D13" s="17"/>
      <c r="E13" s="17"/>
      <c r="F13" s="16"/>
      <c r="G13" s="16"/>
      <c r="H13" s="16"/>
      <c r="I13" s="17"/>
    </row>
    <row r="14" spans="1:9" ht="79.5" customHeight="1" x14ac:dyDescent="0.25">
      <c r="A14" s="18"/>
      <c r="B14" s="17"/>
      <c r="C14" s="17"/>
      <c r="D14" s="17"/>
      <c r="E14" s="17"/>
      <c r="F14" s="16"/>
      <c r="G14" s="16"/>
      <c r="H14" s="16"/>
      <c r="I14" s="17"/>
    </row>
    <row r="15" spans="1:9" ht="79.5" customHeight="1" x14ac:dyDescent="0.25">
      <c r="A15" s="18"/>
      <c r="B15" s="17"/>
      <c r="C15" s="17"/>
      <c r="D15" s="17"/>
      <c r="E15" s="17"/>
      <c r="F15" s="16"/>
      <c r="G15" s="16"/>
      <c r="H15" s="16"/>
      <c r="I15" s="17"/>
    </row>
    <row r="16" spans="1:9" ht="79.5" customHeight="1" x14ac:dyDescent="0.25">
      <c r="A16" s="18"/>
      <c r="B16" s="17"/>
      <c r="C16" s="17"/>
      <c r="D16" s="17"/>
      <c r="E16" s="17"/>
      <c r="F16" s="16"/>
      <c r="G16" s="16"/>
      <c r="H16" s="16"/>
      <c r="I16" s="17"/>
    </row>
    <row r="17" spans="1:9" ht="79.5" customHeight="1" x14ac:dyDescent="0.25">
      <c r="A17" s="18"/>
      <c r="B17" s="17"/>
      <c r="C17" s="17"/>
      <c r="D17" s="17"/>
      <c r="E17" s="17"/>
      <c r="F17" s="16"/>
      <c r="G17" s="16"/>
      <c r="H17" s="16"/>
      <c r="I17" s="17"/>
    </row>
    <row r="18" spans="1:9" ht="79.5" customHeight="1" x14ac:dyDescent="0.25">
      <c r="A18" s="18"/>
      <c r="B18" s="17"/>
      <c r="C18" s="17"/>
      <c r="D18" s="17"/>
      <c r="E18" s="17"/>
      <c r="F18" s="16"/>
      <c r="G18" s="16"/>
      <c r="H18" s="16"/>
      <c r="I18" s="17"/>
    </row>
    <row r="19" spans="1:9" ht="79.5" customHeight="1" x14ac:dyDescent="0.25">
      <c r="A19" s="18"/>
      <c r="B19" s="17"/>
      <c r="C19" s="17"/>
      <c r="D19" s="17"/>
      <c r="E19" s="17"/>
      <c r="F19" s="16"/>
      <c r="G19" s="16"/>
      <c r="H19" s="16"/>
      <c r="I19" s="17"/>
    </row>
    <row r="20" spans="1:9" ht="79.5" customHeight="1" x14ac:dyDescent="0.25">
      <c r="A20" s="18"/>
      <c r="B20" s="17"/>
      <c r="C20" s="17"/>
      <c r="D20" s="17"/>
      <c r="E20" s="17"/>
      <c r="F20" s="16"/>
      <c r="G20" s="16"/>
      <c r="H20" s="16"/>
      <c r="I20" s="17"/>
    </row>
    <row r="21" spans="1:9" ht="79.5" customHeight="1" x14ac:dyDescent="0.25">
      <c r="A21" s="18"/>
      <c r="B21" s="17"/>
      <c r="C21" s="17"/>
      <c r="D21" s="17"/>
      <c r="E21" s="17"/>
      <c r="F21" s="16"/>
      <c r="G21" s="16"/>
      <c r="H21" s="16"/>
      <c r="I21" s="17"/>
    </row>
    <row r="22" spans="1:9" ht="79.5" customHeight="1" x14ac:dyDescent="0.25">
      <c r="A22" s="18"/>
      <c r="B22" s="17"/>
      <c r="C22" s="17"/>
      <c r="D22" s="17"/>
      <c r="E22" s="17"/>
      <c r="F22" s="16"/>
      <c r="G22" s="16"/>
      <c r="H22" s="16"/>
      <c r="I22" s="17"/>
    </row>
    <row r="23" spans="1:9" ht="79.5" customHeight="1" x14ac:dyDescent="0.25">
      <c r="A23" s="18"/>
      <c r="B23" s="17"/>
      <c r="C23" s="17"/>
      <c r="D23" s="17"/>
      <c r="E23" s="17"/>
      <c r="F23" s="16"/>
      <c r="G23" s="16"/>
      <c r="H23" s="16"/>
      <c r="I23" s="17"/>
    </row>
    <row r="24" spans="1:9" ht="79.5" customHeight="1" x14ac:dyDescent="0.25">
      <c r="A24" s="18"/>
      <c r="B24" s="17"/>
      <c r="C24" s="17"/>
      <c r="D24" s="17"/>
      <c r="E24" s="17"/>
      <c r="F24" s="16"/>
      <c r="G24" s="16"/>
      <c r="H24" s="16"/>
      <c r="I24" s="17"/>
    </row>
    <row r="25" spans="1:9" ht="79.5" customHeight="1" x14ac:dyDescent="0.25">
      <c r="A25" s="18"/>
      <c r="B25" s="17"/>
      <c r="C25" s="17"/>
      <c r="D25" s="17"/>
      <c r="E25" s="17"/>
      <c r="F25" s="16"/>
      <c r="G25" s="16"/>
      <c r="H25" s="16"/>
      <c r="I25" s="17"/>
    </row>
    <row r="26" spans="1:9" ht="79.5" customHeight="1" x14ac:dyDescent="0.25">
      <c r="A26" s="18"/>
      <c r="B26" s="17"/>
      <c r="C26" s="17"/>
      <c r="D26" s="17"/>
      <c r="E26" s="17"/>
      <c r="F26" s="16"/>
      <c r="G26" s="16"/>
      <c r="H26" s="16"/>
      <c r="I26" s="17"/>
    </row>
    <row r="27" spans="1:9" ht="79.5" customHeight="1" x14ac:dyDescent="0.25">
      <c r="A27" s="18"/>
      <c r="B27" s="17"/>
      <c r="C27" s="17"/>
      <c r="D27" s="17"/>
      <c r="E27" s="17"/>
      <c r="F27" s="16"/>
      <c r="G27" s="16"/>
      <c r="H27" s="16"/>
      <c r="I27" s="17"/>
    </row>
    <row r="28" spans="1:9" ht="79.5" customHeight="1" x14ac:dyDescent="0.25">
      <c r="A28" s="18"/>
      <c r="B28" s="17"/>
      <c r="C28" s="17"/>
      <c r="D28" s="17"/>
      <c r="E28" s="17"/>
      <c r="F28" s="16"/>
      <c r="G28" s="16"/>
      <c r="H28" s="16"/>
      <c r="I28" s="17"/>
    </row>
    <row r="29" spans="1:9" ht="79.5" customHeight="1" x14ac:dyDescent="0.25">
      <c r="A29" s="18"/>
      <c r="B29" s="17"/>
      <c r="C29" s="17"/>
      <c r="D29" s="17"/>
      <c r="E29" s="17"/>
      <c r="F29" s="16"/>
      <c r="G29" s="16"/>
      <c r="H29" s="16"/>
      <c r="I29" s="17"/>
    </row>
    <row r="30" spans="1:9" ht="79.5" customHeight="1" x14ac:dyDescent="0.25">
      <c r="A30" s="18"/>
      <c r="B30" s="17"/>
      <c r="C30" s="17"/>
      <c r="D30" s="17"/>
      <c r="E30" s="17"/>
      <c r="F30" s="16"/>
      <c r="G30" s="16"/>
      <c r="H30" s="16"/>
      <c r="I30" s="17"/>
    </row>
    <row r="31" spans="1:9" ht="79.5" customHeight="1" x14ac:dyDescent="0.25">
      <c r="A31" s="18"/>
      <c r="B31" s="17"/>
      <c r="C31" s="17"/>
      <c r="D31" s="17"/>
      <c r="E31" s="17"/>
      <c r="F31" s="16"/>
      <c r="G31" s="16"/>
      <c r="H31" s="16"/>
      <c r="I31" s="17"/>
    </row>
    <row r="32" spans="1:9" ht="79.5" customHeight="1" x14ac:dyDescent="0.25">
      <c r="A32" s="18"/>
      <c r="B32" s="17"/>
      <c r="C32" s="17"/>
      <c r="D32" s="17"/>
      <c r="E32" s="17"/>
      <c r="F32" s="16"/>
      <c r="G32" s="16"/>
      <c r="H32" s="16"/>
      <c r="I32" s="17"/>
    </row>
    <row r="33" spans="1:9" ht="79.5" customHeight="1" x14ac:dyDescent="0.25">
      <c r="A33" s="18"/>
      <c r="B33" s="17"/>
      <c r="C33" s="17"/>
      <c r="D33" s="17"/>
      <c r="E33" s="17"/>
      <c r="F33" s="16"/>
      <c r="G33" s="16"/>
      <c r="H33" s="16"/>
      <c r="I33" s="17"/>
    </row>
    <row r="34" spans="1:9" ht="79.5" customHeight="1" x14ac:dyDescent="0.25">
      <c r="A34" s="18"/>
      <c r="B34" s="17"/>
      <c r="C34" s="17"/>
      <c r="D34" s="17"/>
      <c r="E34" s="17"/>
      <c r="F34" s="16"/>
      <c r="G34" s="16"/>
      <c r="H34" s="16"/>
      <c r="I34" s="17"/>
    </row>
    <row r="35" spans="1:9" ht="79.5" customHeight="1" x14ac:dyDescent="0.25">
      <c r="A35" s="18"/>
      <c r="B35" s="17"/>
      <c r="C35" s="17"/>
      <c r="D35" s="17"/>
      <c r="E35" s="17"/>
      <c r="F35" s="16"/>
      <c r="G35" s="16"/>
      <c r="H35" s="16"/>
      <c r="I35" s="17"/>
    </row>
    <row r="36" spans="1:9" ht="79.5" customHeight="1" x14ac:dyDescent="0.25">
      <c r="A36" s="18"/>
      <c r="B36" s="17"/>
      <c r="C36" s="17"/>
      <c r="D36" s="17"/>
      <c r="E36" s="17"/>
      <c r="F36" s="16"/>
      <c r="G36" s="16"/>
      <c r="H36" s="16"/>
      <c r="I36" s="17"/>
    </row>
    <row r="37" spans="1:9" ht="79.5" customHeight="1" x14ac:dyDescent="0.25">
      <c r="A37" s="18"/>
      <c r="B37" s="17"/>
      <c r="C37" s="17"/>
      <c r="D37" s="17"/>
      <c r="E37" s="17"/>
      <c r="F37" s="16"/>
      <c r="G37" s="16"/>
      <c r="H37" s="16"/>
      <c r="I37" s="17"/>
    </row>
    <row r="38" spans="1:9" ht="79.5" customHeight="1" x14ac:dyDescent="0.25">
      <c r="A38" s="18"/>
      <c r="B38" s="17"/>
      <c r="C38" s="17"/>
      <c r="D38" s="17"/>
      <c r="E38" s="17"/>
      <c r="F38" s="16"/>
      <c r="G38" s="16"/>
      <c r="H38" s="16"/>
      <c r="I38" s="17"/>
    </row>
    <row r="39" spans="1:9" ht="79.5" customHeight="1" x14ac:dyDescent="0.25">
      <c r="A39" s="18"/>
      <c r="B39" s="17"/>
      <c r="C39" s="17"/>
      <c r="D39" s="17"/>
      <c r="E39" s="17"/>
      <c r="F39" s="16"/>
      <c r="G39" s="16"/>
      <c r="H39" s="16"/>
      <c r="I39" s="17"/>
    </row>
    <row r="40" spans="1:9" ht="79.5" customHeight="1" x14ac:dyDescent="0.25">
      <c r="A40" s="18"/>
      <c r="B40" s="17"/>
      <c r="C40" s="17"/>
      <c r="D40" s="17"/>
      <c r="E40" s="17"/>
      <c r="F40" s="16"/>
      <c r="G40" s="16"/>
      <c r="H40" s="16"/>
      <c r="I40" s="17"/>
    </row>
    <row r="41" spans="1:9" ht="79.5" customHeight="1" x14ac:dyDescent="0.25">
      <c r="A41" s="18"/>
      <c r="B41" s="17"/>
      <c r="C41" s="17"/>
      <c r="D41" s="17"/>
      <c r="E41" s="17"/>
      <c r="F41" s="16"/>
      <c r="G41" s="16"/>
      <c r="H41" s="16"/>
      <c r="I41" s="17"/>
    </row>
    <row r="42" spans="1:9" ht="79.5" customHeight="1" x14ac:dyDescent="0.25">
      <c r="A42" s="18"/>
      <c r="B42" s="17"/>
      <c r="C42" s="17"/>
      <c r="D42" s="17"/>
      <c r="E42" s="17"/>
      <c r="F42" s="16"/>
      <c r="G42" s="16"/>
      <c r="H42" s="16"/>
      <c r="I42" s="17"/>
    </row>
    <row r="43" spans="1:9" ht="79.5" customHeight="1" x14ac:dyDescent="0.25">
      <c r="A43" s="18"/>
      <c r="B43" s="17"/>
      <c r="C43" s="17"/>
      <c r="D43" s="17"/>
      <c r="E43" s="17"/>
      <c r="F43" s="16"/>
      <c r="G43" s="16"/>
      <c r="H43" s="16"/>
      <c r="I43" s="17"/>
    </row>
    <row r="44" spans="1:9" ht="79.5" customHeight="1" x14ac:dyDescent="0.25">
      <c r="A44" s="18"/>
      <c r="B44" s="17"/>
      <c r="C44" s="17"/>
      <c r="D44" s="17"/>
      <c r="E44" s="17"/>
      <c r="F44" s="16"/>
      <c r="G44" s="16"/>
      <c r="H44" s="16"/>
      <c r="I44" s="17"/>
    </row>
    <row r="45" spans="1:9" ht="79.5" customHeight="1" x14ac:dyDescent="0.25">
      <c r="A45" s="18"/>
      <c r="B45" s="17"/>
      <c r="C45" s="17"/>
      <c r="D45" s="17"/>
      <c r="E45" s="17"/>
      <c r="F45" s="16"/>
      <c r="G45" s="16"/>
      <c r="H45" s="16"/>
      <c r="I45" s="17"/>
    </row>
  </sheetData>
  <mergeCells count="2">
    <mergeCell ref="F4:H4"/>
    <mergeCell ref="A4:E4"/>
  </mergeCells>
  <dataValidations count="1">
    <dataValidation type="whole" allowBlank="1" error="Enter a number from 1 to 5" sqref="F6:H45" xr:uid="{00000000-0002-0000-0200-000000000000}">
      <formula1>1</formula1>
      <formula2>5</formula2>
    </dataValidation>
  </dataValidation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6BCC"/>
    <pageSetUpPr fitToPage="1"/>
  </sheetPr>
  <dimension ref="A1:H19"/>
  <sheetViews>
    <sheetView showGridLines="0" zoomScaleNormal="100" workbookViewId="0">
      <pane xSplit="1" ySplit="5" topLeftCell="B6" activePane="bottomRight" state="frozen"/>
      <selection activeCell="I6" sqref="I6"/>
      <selection pane="topRight" activeCell="I6" sqref="I6"/>
      <selection pane="bottomLeft" activeCell="I6" sqref="I6"/>
      <selection pane="bottomRight" activeCell="L5" sqref="L5"/>
    </sheetView>
  </sheetViews>
  <sheetFormatPr defaultColWidth="8.7109375" defaultRowHeight="15" x14ac:dyDescent="0.25"/>
  <cols>
    <col min="1" max="1" width="9" customWidth="1"/>
    <col min="2" max="4" width="15" customWidth="1"/>
    <col min="5" max="7" width="44" customWidth="1"/>
    <col min="8" max="8" width="40" customWidth="1"/>
  </cols>
  <sheetData>
    <row r="1" spans="1:8" ht="20.100000000000001" customHeight="1" x14ac:dyDescent="0.3">
      <c r="A1" s="11" t="s">
        <v>38</v>
      </c>
    </row>
    <row r="2" spans="1:8" x14ac:dyDescent="0.25">
      <c r="A2" s="12" t="str">
        <f>IF(Guide!$C$5="","Associate: (enter full name on the Guide tab)","Associate: "&amp;Guide!$C$5)</f>
        <v>Associate: Abdalwahab Eltahir</v>
      </c>
    </row>
    <row r="3" spans="1:8" x14ac:dyDescent="0.25">
      <c r="A3" s="7" t="s">
        <v>39</v>
      </c>
    </row>
    <row r="4" spans="1:8" ht="24" customHeight="1" x14ac:dyDescent="0.25">
      <c r="A4" s="34"/>
      <c r="B4" s="33"/>
      <c r="C4" s="31" t="s">
        <v>40</v>
      </c>
      <c r="D4" s="33"/>
      <c r="E4" s="34"/>
      <c r="F4" s="32"/>
      <c r="G4" s="32"/>
      <c r="H4" s="33"/>
    </row>
    <row r="5" spans="1:8" ht="63.75" customHeight="1" x14ac:dyDescent="0.25">
      <c r="A5" s="13" t="s">
        <v>32</v>
      </c>
      <c r="B5" s="13" t="s">
        <v>41</v>
      </c>
      <c r="C5" s="13" t="s">
        <v>42</v>
      </c>
      <c r="D5" s="13" t="s">
        <v>43</v>
      </c>
      <c r="E5" s="13" t="s">
        <v>44</v>
      </c>
      <c r="F5" s="13" t="s">
        <v>45</v>
      </c>
      <c r="G5" s="13" t="s">
        <v>46</v>
      </c>
      <c r="H5" s="13" t="s">
        <v>47</v>
      </c>
    </row>
    <row r="6" spans="1:8" ht="120" customHeight="1" x14ac:dyDescent="0.25">
      <c r="A6" s="14">
        <v>1</v>
      </c>
      <c r="B6" s="15">
        <f>IF(StartDate="","",StartDate+7*(A6-1)+4)</f>
        <v>46310</v>
      </c>
      <c r="C6" s="16">
        <v>5</v>
      </c>
      <c r="D6" s="16">
        <v>4</v>
      </c>
      <c r="E6" s="17" t="s">
        <v>63</v>
      </c>
      <c r="F6" s="17" t="s">
        <v>64</v>
      </c>
      <c r="G6" s="28" t="s">
        <v>65</v>
      </c>
      <c r="H6" s="27" t="s">
        <v>66</v>
      </c>
    </row>
    <row r="7" spans="1:8" ht="90" customHeight="1" x14ac:dyDescent="0.25">
      <c r="A7" s="14">
        <v>2</v>
      </c>
      <c r="B7" s="15">
        <f>IF(StartDate="","",StartDate+7*(A7-1)+4)</f>
        <v>46317</v>
      </c>
      <c r="C7" s="16"/>
      <c r="D7" s="16"/>
      <c r="E7" s="17"/>
      <c r="F7" s="17"/>
      <c r="G7" s="17"/>
      <c r="H7" s="17"/>
    </row>
    <row r="8" spans="1:8" ht="90" customHeight="1" x14ac:dyDescent="0.25">
      <c r="A8" s="14">
        <v>3</v>
      </c>
      <c r="B8" s="15">
        <f t="shared" ref="B8:B17" si="0">IF(StartDate="","",StartDate+7*(A8-1)+4)</f>
        <v>46324</v>
      </c>
      <c r="C8" s="16"/>
      <c r="D8" s="16"/>
      <c r="E8" s="17"/>
      <c r="F8" s="17"/>
      <c r="G8" s="17"/>
      <c r="H8" s="17"/>
    </row>
    <row r="9" spans="1:8" ht="90" customHeight="1" x14ac:dyDescent="0.25">
      <c r="A9" s="14">
        <v>4</v>
      </c>
      <c r="B9" s="15">
        <f t="shared" si="0"/>
        <v>46331</v>
      </c>
      <c r="C9" s="16"/>
      <c r="D9" s="16"/>
      <c r="E9" s="17"/>
      <c r="F9" s="17"/>
      <c r="G9" s="17"/>
      <c r="H9" s="17"/>
    </row>
    <row r="10" spans="1:8" ht="90" customHeight="1" x14ac:dyDescent="0.25">
      <c r="A10" s="14">
        <v>5</v>
      </c>
      <c r="B10" s="15">
        <f t="shared" si="0"/>
        <v>46338</v>
      </c>
      <c r="C10" s="16"/>
      <c r="D10" s="16"/>
      <c r="E10" s="17"/>
      <c r="F10" s="17"/>
      <c r="G10" s="17"/>
      <c r="H10" s="17"/>
    </row>
    <row r="11" spans="1:8" ht="90" customHeight="1" x14ac:dyDescent="0.25">
      <c r="A11" s="14">
        <v>6</v>
      </c>
      <c r="B11" s="15">
        <f t="shared" si="0"/>
        <v>46345</v>
      </c>
      <c r="C11" s="16"/>
      <c r="D11" s="16"/>
      <c r="E11" s="17"/>
      <c r="F11" s="17"/>
      <c r="G11" s="17"/>
      <c r="H11" s="17"/>
    </row>
    <row r="12" spans="1:8" ht="90" customHeight="1" x14ac:dyDescent="0.25">
      <c r="A12" s="14">
        <v>7</v>
      </c>
      <c r="B12" s="15">
        <f t="shared" si="0"/>
        <v>46352</v>
      </c>
      <c r="C12" s="16"/>
      <c r="D12" s="16"/>
      <c r="E12" s="17"/>
      <c r="F12" s="17"/>
      <c r="G12" s="17"/>
      <c r="H12" s="17"/>
    </row>
    <row r="13" spans="1:8" ht="90" customHeight="1" x14ac:dyDescent="0.25">
      <c r="A13" s="14">
        <v>8</v>
      </c>
      <c r="B13" s="15">
        <f t="shared" si="0"/>
        <v>46359</v>
      </c>
      <c r="C13" s="16"/>
      <c r="D13" s="16"/>
      <c r="E13" s="17"/>
      <c r="F13" s="17"/>
      <c r="G13" s="17"/>
      <c r="H13" s="17"/>
    </row>
    <row r="14" spans="1:8" ht="90" customHeight="1" x14ac:dyDescent="0.25">
      <c r="A14" s="14">
        <v>9</v>
      </c>
      <c r="B14" s="15">
        <f t="shared" si="0"/>
        <v>46366</v>
      </c>
      <c r="C14" s="16"/>
      <c r="D14" s="16"/>
      <c r="E14" s="17"/>
      <c r="F14" s="17"/>
      <c r="G14" s="17"/>
      <c r="H14" s="17"/>
    </row>
    <row r="15" spans="1:8" ht="90" customHeight="1" x14ac:dyDescent="0.25">
      <c r="A15" s="14">
        <v>10</v>
      </c>
      <c r="B15" s="15">
        <f t="shared" si="0"/>
        <v>46373</v>
      </c>
      <c r="C15" s="16"/>
      <c r="D15" s="16"/>
      <c r="E15" s="17"/>
      <c r="F15" s="17"/>
      <c r="G15" s="17"/>
      <c r="H15" s="17"/>
    </row>
    <row r="16" spans="1:8" ht="90" customHeight="1" x14ac:dyDescent="0.25">
      <c r="A16" s="14">
        <v>11</v>
      </c>
      <c r="B16" s="15">
        <f t="shared" si="0"/>
        <v>46380</v>
      </c>
      <c r="C16" s="16"/>
      <c r="D16" s="16"/>
      <c r="E16" s="17"/>
      <c r="F16" s="17"/>
      <c r="G16" s="17"/>
      <c r="H16" s="17"/>
    </row>
    <row r="17" spans="1:8" ht="90" customHeight="1" x14ac:dyDescent="0.25">
      <c r="A17" s="14">
        <v>12</v>
      </c>
      <c r="B17" s="15">
        <f t="shared" si="0"/>
        <v>46387</v>
      </c>
      <c r="C17" s="16"/>
      <c r="D17" s="16"/>
      <c r="E17" s="17"/>
      <c r="F17" s="17"/>
      <c r="G17" s="17"/>
      <c r="H17" s="17"/>
    </row>
    <row r="19" spans="1:8" x14ac:dyDescent="0.25">
      <c r="A19" s="7" t="s">
        <v>48</v>
      </c>
    </row>
  </sheetData>
  <mergeCells count="3">
    <mergeCell ref="A4:B4"/>
    <mergeCell ref="E4:H4"/>
    <mergeCell ref="C4:D4"/>
  </mergeCells>
  <dataValidations count="1">
    <dataValidation type="whole" allowBlank="1" error="Enter a number from 1 to 5" sqref="C6:D17" xr:uid="{00000000-0002-0000-0300-000000000000}">
      <formula1>1</formula1>
      <formula2>5</formula2>
    </dataValidation>
  </dataValidations>
  <pageMargins left="0.75" right="0.75" top="1" bottom="1" header="0.511811023622047" footer="0.511811023622047"/>
  <pageSetup fitToHeight="0"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Guide</vt:lpstr>
      <vt:lpstr>Daily Log</vt:lpstr>
      <vt:lpstr>Meeting Minutes</vt:lpstr>
      <vt:lpstr>Weekly Report</vt:lpstr>
      <vt:lpstr>'Daily Log'!Print_Titles</vt:lpstr>
      <vt:lpstr>'Meeting Minutes'!Print_Titles</vt:lpstr>
      <vt:lpstr>'Weekly Report'!Print_Titles</vt:lpstr>
      <vt:lpstr>StartDate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Abdalwahab Eltahir</cp:lastModifiedBy>
  <cp:revision>0</cp:revision>
  <dcterms:created xsi:type="dcterms:W3CDTF">2026-10-03T14:31:16Z</dcterms:created>
  <dcterms:modified xsi:type="dcterms:W3CDTF">2026-10-20T17:43:32Z</dcterms:modified>
  <dc:language>en-US</dc:language>
</cp:coreProperties>
</file>